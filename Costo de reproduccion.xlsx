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C:\Users\Samuel\OneDrive\Escritorio\Axie infinity\"/>
    </mc:Choice>
  </mc:AlternateContent>
  <xr:revisionPtr revIDLastSave="0" documentId="13_ncr:1_{C168B145-161F-45CC-9527-1C13E7CB0249}" xr6:coauthVersionLast="47" xr6:coauthVersionMax="47" xr10:uidLastSave="{00000000-0000-0000-0000-000000000000}"/>
  <bookViews>
    <workbookView xWindow="-108" yWindow="12852" windowWidth="23256" windowHeight="12456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" i="1" l="1"/>
  <c r="C10" i="1" s="1"/>
  <c r="C8" i="1"/>
  <c r="C11" i="1" s="1"/>
  <c r="C24" i="1"/>
  <c r="D24" i="1" s="1"/>
  <c r="F15" i="1"/>
  <c r="E24" i="1" l="1"/>
  <c r="F25" i="1"/>
  <c r="F24" i="1"/>
  <c r="F30" i="1"/>
  <c r="F29" i="1"/>
  <c r="F28" i="1"/>
  <c r="F27" i="1"/>
  <c r="F26" i="1"/>
  <c r="C25" i="1"/>
  <c r="F16" i="1"/>
  <c r="D25" i="1" l="1"/>
  <c r="E25" i="1" s="1"/>
  <c r="H25" i="1" s="1"/>
  <c r="J25" i="1" s="1"/>
  <c r="G24" i="1"/>
  <c r="H24" i="1"/>
  <c r="J24" i="1" s="1"/>
  <c r="G27" i="1"/>
  <c r="G28" i="1"/>
  <c r="G25" i="1"/>
  <c r="G26" i="1"/>
  <c r="G29" i="1"/>
  <c r="G30" i="1"/>
  <c r="C26" i="1"/>
  <c r="D26" i="1" s="1"/>
  <c r="F17" i="1"/>
  <c r="I25" i="1" l="1"/>
  <c r="I24" i="1"/>
  <c r="C27" i="1"/>
  <c r="D27" i="1" s="1"/>
  <c r="F18" i="1"/>
  <c r="E26" i="1" l="1"/>
  <c r="H26" i="1" s="1"/>
  <c r="J26" i="1" s="1"/>
  <c r="C28" i="1"/>
  <c r="D28" i="1" s="1"/>
  <c r="F19" i="1"/>
  <c r="I26" i="1" l="1"/>
  <c r="E27" i="1"/>
  <c r="H27" i="1" s="1"/>
  <c r="J27" i="1" s="1"/>
  <c r="F20" i="1"/>
  <c r="C30" i="1" s="1"/>
  <c r="D30" i="1" s="1"/>
  <c r="C29" i="1"/>
  <c r="D29" i="1" s="1"/>
  <c r="I27" i="1" l="1"/>
  <c r="E28" i="1"/>
  <c r="H28" i="1" s="1"/>
  <c r="J28" i="1" s="1"/>
  <c r="I28" i="1" l="1"/>
  <c r="E30" i="1"/>
  <c r="H30" i="1" s="1"/>
  <c r="J30" i="1" s="1"/>
  <c r="E29" i="1"/>
  <c r="H29" i="1" s="1"/>
  <c r="J29" i="1" s="1"/>
  <c r="I30" i="1" l="1"/>
  <c r="I29" i="1"/>
</calcChain>
</file>

<file path=xl/sharedStrings.xml><?xml version="1.0" encoding="utf-8"?>
<sst xmlns="http://schemas.openxmlformats.org/spreadsheetml/2006/main" count="35" uniqueCount="28">
  <si>
    <t>SLP</t>
  </si>
  <si>
    <t>AXS</t>
  </si>
  <si>
    <t>ETH</t>
  </si>
  <si>
    <t>REPRODUCCIONES</t>
  </si>
  <si>
    <t>SLP (RR)</t>
  </si>
  <si>
    <t>AXS (RR)</t>
  </si>
  <si>
    <t>SLP (A)</t>
  </si>
  <si>
    <t>AXS (A)</t>
  </si>
  <si>
    <t>Recordar que los axies padre deben estar con 0 breeds</t>
  </si>
  <si>
    <t xml:space="preserve"> y que su venta a la mitad de su precio inicial se considera dentro de las ganancias</t>
  </si>
  <si>
    <t>RENTABILIDAD</t>
  </si>
  <si>
    <t xml:space="preserve"> </t>
  </si>
  <si>
    <t>Precio de compra de axies padre</t>
  </si>
  <si>
    <t>Porcentaje de comision por venta de axies</t>
  </si>
  <si>
    <t>Procentaje de venta promedio de hijos</t>
  </si>
  <si>
    <t>Precio de venta incial de axies hijo</t>
  </si>
  <si>
    <t>Precio de venta promedio de hijos</t>
  </si>
  <si>
    <t>Precio de venta final promedio de hijos</t>
  </si>
  <si>
    <t>Precio final promedio de padres</t>
  </si>
  <si>
    <t>COSTO DE BREED</t>
  </si>
  <si>
    <t>Precio promedio de venta de padres</t>
  </si>
  <si>
    <t>COSTO FINAL ($)</t>
  </si>
  <si>
    <t>COSTO FINAL (ETH)</t>
  </si>
  <si>
    <t>0.5</t>
  </si>
  <si>
    <t>GANANCIA BRUTA (ETH)</t>
  </si>
  <si>
    <t>GANANCIA BRUTA ($)</t>
  </si>
  <si>
    <t>GANANCIA NETA (ETH)</t>
  </si>
  <si>
    <t>GANANCIA NETA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</si>
</sst>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\ &quot;€&quot;"/>
    <numFmt numFmtId="166" formatCode="0.0000"/>
  </numFmts>
  <fonts count="10" x14ac:knownFonts="1">
    <font>
      <sz val="11"/>
      <color theme="1"/>
      <name val="Calibri"/>
      <family val="2"/>
      <scheme val="minor"/>
    </font>
    <font>
      <sz val="8"/>
      <color theme="1"/>
      <name val="Times New Roman"/>
      <family val="1"/>
    </font>
    <font>
      <u/>
      <sz val="8"/>
      <color theme="1"/>
      <name val="Times New Roman"/>
      <family val="1"/>
    </font>
    <font>
      <u/>
      <sz val="11"/>
      <color theme="1"/>
      <name val="Calibri"/>
      <family val="2"/>
      <scheme val="minor"/>
    </font>
    <font>
      <sz val="11"/>
      <color rgb="FF777777"/>
      <name val="Arial"/>
      <family val="2"/>
    </font>
    <font>
      <sz val="12"/>
      <color theme="1"/>
      <name val="Times New Roman"/>
      <family val="1"/>
    </font>
    <font>
      <sz val="10"/>
      <color theme="1"/>
      <name val="Times New Roman"/>
      <family val="1"/>
    </font>
    <font>
      <sz val="10"/>
      <color theme="1"/>
      <name val="Calibri"/>
      <family val="2"/>
      <scheme val="minor"/>
    </font>
    <font>
      <u/>
      <sz val="10"/>
      <color theme="1"/>
      <name val="Times New Roman"/>
      <family val="1"/>
    </font>
    <font>
      <u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6" fillId="0" borderId="0" xfId="0" applyNumberFormat="1" applyFont="1" applyAlignment="1">
      <alignment horizontal="center"/>
    </xf>
    <xf numFmtId="4" fontId="6" fillId="0" borderId="0" xfId="0" applyNumberFormat="1" applyFont="1" applyAlignment="1">
      <alignment horizontal="center"/>
    </xf>
    <xf numFmtId="9" fontId="6" fillId="0" borderId="0" xfId="0" applyNumberFormat="1" applyFont="1" applyAlignment="1">
      <alignment horizontal="center"/>
    </xf>
    <xf numFmtId="166" fontId="6" fillId="0" borderId="0" xfId="0" applyNumberFormat="1" applyFont="1" applyAlignment="1">
      <alignment horizontal="right"/>
    </xf>
    <xf numFmtId="166" fontId="7" fillId="0" borderId="0" xfId="0" applyNumberFormat="1" applyFont="1"/>
    <xf numFmtId="0" fontId="6" fillId="0" borderId="0" xfId="0" applyFont="1" applyAlignment="1">
      <alignment horizontal="right"/>
    </xf>
    <xf numFmtId="166" fontId="6" fillId="0" borderId="0" xfId="0" applyNumberFormat="1" applyFont="1"/>
    <xf numFmtId="0" fontId="9" fillId="0" borderId="0" xfId="0" applyFont="1"/>
  </cellXfs>
  <cellStyles count="1">
    <cellStyle name="Normal" xfId="0" builtinId="0"/>
  </cellStyles>
  <dxfs count="5"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1"/>
  <sheetViews>
    <sheetView tabSelected="1" zoomScaleNormal="100" workbookViewId="0">
      <selection activeCell="H14" sqref="H14"/>
    </sheetView>
  </sheetViews>
  <sheetFormatPr baseColWidth="10" defaultColWidth="9.140625" defaultRowHeight="15" x14ac:dyDescent="0.25"/>
  <cols>
    <col min="1" max="16" width="20.7109375" customWidth="1"/>
    <col min="23" max="23" width="11" bestFit="1" customWidth="1"/>
  </cols>
  <sheetData>
    <row r="1" spans="1:30" x14ac:dyDescent="0.25">
      <c r="A1" s="8" t="s">
        <v>12</v>
      </c>
      <c r="B1" s="8"/>
      <c r="C1" s="16">
        <v>0.5</v>
      </c>
      <c r="D1" s="9"/>
      <c r="E1" s="9"/>
      <c r="F1" s="9"/>
    </row>
    <row r="2" spans="1:30" x14ac:dyDescent="0.25">
      <c r="A2" s="8" t="s">
        <v>15</v>
      </c>
      <c r="B2" s="9"/>
      <c r="C2" s="16">
        <v>0.5</v>
      </c>
      <c r="D2" s="9"/>
      <c r="E2" s="9"/>
      <c r="F2" s="8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x14ac:dyDescent="0.25">
      <c r="A3" s="9"/>
      <c r="B3" s="9"/>
      <c r="C3" s="17"/>
      <c r="D3" s="9"/>
      <c r="E3" s="8" t="s">
        <v>0</v>
      </c>
      <c r="F3" s="18">
        <v>0.04</v>
      </c>
      <c r="I3" s="1"/>
      <c r="K3" s="1"/>
      <c r="L3" s="1"/>
      <c r="M3" s="2"/>
      <c r="N3" s="2"/>
      <c r="O3" s="2"/>
      <c r="P3" s="2"/>
      <c r="Q3" s="2"/>
      <c r="R3" s="2"/>
      <c r="S3" s="2"/>
      <c r="T3" s="2"/>
      <c r="U3" s="2"/>
      <c r="V3" s="1"/>
      <c r="W3" s="1"/>
      <c r="X3" s="1"/>
      <c r="Y3" s="1"/>
      <c r="Z3" s="1"/>
      <c r="AA3" s="1"/>
      <c r="AB3" s="1"/>
      <c r="AC3" s="1"/>
      <c r="AD3" s="1"/>
    </row>
    <row r="4" spans="1:30" x14ac:dyDescent="0.25">
      <c r="A4" s="8" t="s">
        <v>13</v>
      </c>
      <c r="B4" s="8"/>
      <c r="C4" s="16">
        <v>4.2500000000000003E-2</v>
      </c>
      <c r="D4" s="9"/>
      <c r="E4" s="8" t="s">
        <v>1</v>
      </c>
      <c r="F4" s="18">
        <v>104</v>
      </c>
      <c r="I4" s="1"/>
      <c r="L4" s="1"/>
      <c r="M4" s="2"/>
      <c r="N4" s="2" t="s">
        <v>8</v>
      </c>
      <c r="O4" s="2"/>
      <c r="P4" s="2"/>
      <c r="Q4" s="2"/>
      <c r="R4" s="2"/>
      <c r="S4" s="2"/>
      <c r="T4" s="2"/>
      <c r="U4" s="2"/>
      <c r="V4" s="1"/>
      <c r="W4" s="1"/>
      <c r="X4" s="1"/>
      <c r="Y4" s="1"/>
      <c r="Z4" s="1"/>
      <c r="AA4" s="1"/>
      <c r="AB4" s="1"/>
      <c r="AC4" s="1"/>
      <c r="AD4" s="1"/>
    </row>
    <row r="5" spans="1:30" x14ac:dyDescent="0.25">
      <c r="A5" s="8" t="s">
        <v>14</v>
      </c>
      <c r="B5" s="8"/>
      <c r="C5" s="16">
        <v>0.8</v>
      </c>
      <c r="D5" s="9"/>
      <c r="E5" s="8" t="s">
        <v>2</v>
      </c>
      <c r="F5" s="18">
        <v>4300</v>
      </c>
      <c r="I5" s="1"/>
      <c r="L5" s="1"/>
      <c r="M5" s="2"/>
      <c r="N5" s="2" t="s">
        <v>9</v>
      </c>
      <c r="O5" s="2"/>
      <c r="P5" s="2"/>
      <c r="Q5" s="2"/>
      <c r="R5" s="2"/>
      <c r="S5" s="2"/>
      <c r="T5" s="2"/>
      <c r="U5" s="2"/>
      <c r="V5" s="1"/>
      <c r="W5" s="1"/>
      <c r="X5" s="1"/>
      <c r="Y5" s="1"/>
      <c r="Z5" s="1"/>
      <c r="AA5" s="1"/>
      <c r="AB5" s="1"/>
      <c r="AC5" s="1"/>
      <c r="AD5" s="1"/>
    </row>
    <row r="6" spans="1:30" x14ac:dyDescent="0.25">
      <c r="A6" s="9"/>
      <c r="B6" s="9"/>
      <c r="C6" s="17"/>
      <c r="D6" s="9"/>
      <c r="E6" s="9"/>
      <c r="F6" s="8"/>
      <c r="G6" s="1"/>
      <c r="L6" s="1"/>
      <c r="M6" s="2"/>
      <c r="N6" s="2"/>
      <c r="O6" s="2"/>
      <c r="P6" s="2"/>
      <c r="Q6" s="2"/>
      <c r="R6" s="2"/>
      <c r="S6" s="2"/>
      <c r="T6" s="2"/>
      <c r="U6" s="2"/>
      <c r="V6" s="1"/>
      <c r="W6" s="1"/>
      <c r="X6" s="1"/>
      <c r="Y6" s="1"/>
      <c r="Z6" s="1"/>
      <c r="AA6" s="1"/>
      <c r="AB6" s="1"/>
      <c r="AC6" s="1"/>
      <c r="AD6" s="1"/>
    </row>
    <row r="7" spans="1:30" x14ac:dyDescent="0.25">
      <c r="A7" s="8" t="s">
        <v>20</v>
      </c>
      <c r="B7" s="9"/>
      <c r="C7" s="19">
        <f>C1/2</f>
        <v>0.25</v>
      </c>
      <c r="D7" s="9"/>
      <c r="E7" s="9"/>
      <c r="F7" s="8"/>
      <c r="G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spans="1:30" x14ac:dyDescent="0.25">
      <c r="A8" s="8" t="s">
        <v>16</v>
      </c>
      <c r="B8" s="9"/>
      <c r="C8" s="19">
        <f>C2*C5</f>
        <v>0.4</v>
      </c>
      <c r="D8" s="9"/>
      <c r="E8" s="9"/>
      <c r="F8" s="8"/>
      <c r="G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spans="1:30" x14ac:dyDescent="0.25">
      <c r="A9" s="9"/>
      <c r="B9" s="9"/>
      <c r="C9" s="17"/>
      <c r="D9" s="20"/>
      <c r="E9" s="9"/>
      <c r="F9" s="8"/>
      <c r="G9" s="1"/>
      <c r="I9" s="5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4"/>
      <c r="X9" s="1"/>
      <c r="Y9" s="1"/>
      <c r="Z9" s="1"/>
      <c r="AA9" s="1"/>
      <c r="AB9" s="1"/>
      <c r="AC9" s="1"/>
      <c r="AD9" s="1"/>
    </row>
    <row r="10" spans="1:30" x14ac:dyDescent="0.25">
      <c r="A10" s="8" t="s">
        <v>18</v>
      </c>
      <c r="B10" s="9"/>
      <c r="C10" s="19">
        <f>C7-(C7*C4)</f>
        <v>0.239375</v>
      </c>
      <c r="D10" s="9"/>
      <c r="E10" s="9"/>
      <c r="F10" s="9"/>
      <c r="M10" s="6" t="s">
        <v>11</v>
      </c>
      <c r="AB10" s="1"/>
      <c r="AC10" s="1"/>
      <c r="AD10" s="1"/>
    </row>
    <row r="11" spans="1:30" x14ac:dyDescent="0.25">
      <c r="A11" s="8" t="s">
        <v>17</v>
      </c>
      <c r="B11" s="9"/>
      <c r="C11" s="19">
        <f>C8-(C8*C4)</f>
        <v>0.38300000000000001</v>
      </c>
      <c r="D11" s="9"/>
      <c r="E11" s="9"/>
      <c r="F11" s="9"/>
      <c r="AB11" s="1"/>
      <c r="AC11" s="1"/>
      <c r="AD11" s="1"/>
    </row>
    <row r="12" spans="1:30" x14ac:dyDescent="0.25">
      <c r="Z12" s="3"/>
      <c r="AA12" s="1"/>
    </row>
    <row r="13" spans="1:30" x14ac:dyDescent="0.25">
      <c r="B13" s="8"/>
      <c r="C13" s="9"/>
      <c r="D13" s="10" t="s">
        <v>3</v>
      </c>
      <c r="E13" s="10" t="s">
        <v>4</v>
      </c>
      <c r="F13" s="10" t="s">
        <v>6</v>
      </c>
      <c r="G13" s="10" t="s">
        <v>5</v>
      </c>
      <c r="H13" s="10" t="s">
        <v>7</v>
      </c>
      <c r="I13" s="8"/>
      <c r="J13" s="8"/>
      <c r="Z13" s="3"/>
      <c r="AA13" s="1"/>
    </row>
    <row r="14" spans="1:30" x14ac:dyDescent="0.25">
      <c r="B14" s="8"/>
      <c r="C14" s="9"/>
      <c r="D14" s="11">
        <v>1</v>
      </c>
      <c r="E14" s="11">
        <v>1800</v>
      </c>
      <c r="F14" s="11">
        <v>1800</v>
      </c>
      <c r="G14" s="11" t="s">
        <v>23</v>
      </c>
      <c r="H14" s="10">
        <v>0.5</v>
      </c>
      <c r="I14" s="8"/>
      <c r="J14" s="8"/>
      <c r="P14" s="3"/>
      <c r="Z14" s="3"/>
      <c r="AA14" s="1"/>
    </row>
    <row r="15" spans="1:30" x14ac:dyDescent="0.25">
      <c r="B15" s="8"/>
      <c r="C15" s="9"/>
      <c r="D15" s="11">
        <v>2</v>
      </c>
      <c r="E15" s="11">
        <v>2700</v>
      </c>
      <c r="F15" s="11">
        <f>E15+E14</f>
        <v>4500</v>
      </c>
      <c r="G15" s="11" t="s">
        <v>23</v>
      </c>
      <c r="H15" s="11">
        <v>1</v>
      </c>
      <c r="I15" s="8"/>
      <c r="J15" s="8"/>
      <c r="P15" s="3"/>
      <c r="Z15" s="3"/>
      <c r="AA15" s="1"/>
    </row>
    <row r="16" spans="1:30" x14ac:dyDescent="0.25">
      <c r="B16" s="8"/>
      <c r="C16" s="9"/>
      <c r="D16" s="11">
        <v>3</v>
      </c>
      <c r="E16" s="11">
        <v>4500</v>
      </c>
      <c r="F16" s="11">
        <f>E16+F15</f>
        <v>9000</v>
      </c>
      <c r="G16" s="11" t="s">
        <v>23</v>
      </c>
      <c r="H16" s="11">
        <v>1.5</v>
      </c>
      <c r="I16" s="8"/>
      <c r="J16" s="8"/>
      <c r="P16" s="3"/>
      <c r="Z16" s="3"/>
      <c r="AA16" s="1"/>
    </row>
    <row r="17" spans="2:28" x14ac:dyDescent="0.25">
      <c r="B17" s="8"/>
      <c r="C17" s="9"/>
      <c r="D17" s="11">
        <v>4</v>
      </c>
      <c r="E17" s="11">
        <v>7200</v>
      </c>
      <c r="F17" s="11">
        <f>E17+F16</f>
        <v>16200</v>
      </c>
      <c r="G17" s="11" t="s">
        <v>23</v>
      </c>
      <c r="H17" s="11">
        <v>2</v>
      </c>
      <c r="I17" s="8"/>
      <c r="J17" s="8"/>
      <c r="N17" s="5"/>
      <c r="P17" s="3"/>
      <c r="Z17" s="3"/>
      <c r="AA17" s="1"/>
      <c r="AB17" s="5"/>
    </row>
    <row r="18" spans="2:28" x14ac:dyDescent="0.25">
      <c r="B18" s="8"/>
      <c r="C18" s="9"/>
      <c r="D18" s="11">
        <v>5</v>
      </c>
      <c r="E18" s="11">
        <v>11700</v>
      </c>
      <c r="F18" s="11">
        <f>E18+F17</f>
        <v>27900</v>
      </c>
      <c r="G18" s="11" t="s">
        <v>23</v>
      </c>
      <c r="H18" s="11">
        <v>2.5</v>
      </c>
      <c r="I18" s="8"/>
      <c r="J18" s="8"/>
      <c r="P18" s="3"/>
      <c r="Z18" s="3"/>
      <c r="AA18" s="1"/>
    </row>
    <row r="19" spans="2:28" x14ac:dyDescent="0.25">
      <c r="B19" s="8"/>
      <c r="C19" s="9"/>
      <c r="D19" s="11">
        <v>6</v>
      </c>
      <c r="E19" s="11">
        <v>18900</v>
      </c>
      <c r="F19" s="11">
        <f>E19+F18</f>
        <v>46800</v>
      </c>
      <c r="G19" s="11" t="s">
        <v>23</v>
      </c>
      <c r="H19" s="11">
        <v>3</v>
      </c>
      <c r="I19" s="8"/>
      <c r="J19" s="8"/>
      <c r="P19" s="3"/>
      <c r="Z19" s="3"/>
      <c r="AA19" s="1"/>
    </row>
    <row r="20" spans="2:28" x14ac:dyDescent="0.25">
      <c r="B20" s="8"/>
      <c r="C20" s="9"/>
      <c r="D20" s="11">
        <v>7</v>
      </c>
      <c r="E20" s="11">
        <v>30600</v>
      </c>
      <c r="F20" s="11">
        <f>E20+F19</f>
        <v>77400</v>
      </c>
      <c r="G20" s="11" t="s">
        <v>23</v>
      </c>
      <c r="H20" s="11">
        <v>3.5</v>
      </c>
      <c r="I20" s="8"/>
      <c r="J20" s="8"/>
      <c r="P20" s="3"/>
    </row>
    <row r="21" spans="2:28" x14ac:dyDescent="0.25">
      <c r="B21" s="8"/>
      <c r="C21" s="8"/>
      <c r="D21" s="8"/>
      <c r="E21" s="8"/>
      <c r="F21" s="8"/>
      <c r="G21" s="8"/>
      <c r="H21" s="8"/>
      <c r="I21" s="8"/>
      <c r="J21" s="8"/>
      <c r="P21" s="3"/>
      <c r="AA21" s="5"/>
    </row>
    <row r="22" spans="2:28" x14ac:dyDescent="0.25">
      <c r="B22" s="8"/>
      <c r="C22" s="8"/>
      <c r="D22" s="8"/>
      <c r="E22" s="8"/>
      <c r="F22" s="8"/>
      <c r="G22" s="8"/>
      <c r="H22" s="8"/>
      <c r="I22" s="8"/>
      <c r="J22" s="8"/>
    </row>
    <row r="23" spans="2:28" x14ac:dyDescent="0.25">
      <c r="B23" s="10" t="s">
        <v>3</v>
      </c>
      <c r="C23" s="10" t="s">
        <v>19</v>
      </c>
      <c r="D23" s="10" t="s">
        <v>21</v>
      </c>
      <c r="E23" s="10" t="s">
        <v>22</v>
      </c>
      <c r="F23" s="10" t="s">
        <v>24</v>
      </c>
      <c r="G23" s="10" t="s">
        <v>25</v>
      </c>
      <c r="H23" s="10" t="s">
        <v>26</v>
      </c>
      <c r="I23" s="10" t="s">
        <v>27</v>
      </c>
      <c r="J23" s="10" t="s">
        <v>10</v>
      </c>
    </row>
    <row r="24" spans="2:28" x14ac:dyDescent="0.25">
      <c r="B24" s="11">
        <v>1</v>
      </c>
      <c r="C24" s="12">
        <f>(F14*F3)+(H14*F4)</f>
        <v>124</v>
      </c>
      <c r="D24" s="12">
        <f>(C1*F5*2)+(C24)</f>
        <v>4424</v>
      </c>
      <c r="E24" s="13">
        <f>D24/F5</f>
        <v>1.0288372093023255</v>
      </c>
      <c r="F24" s="14">
        <f>(C10*2)+(C11*B24)</f>
        <v>0.86175000000000002</v>
      </c>
      <c r="G24" s="12">
        <f>F24*F5</f>
        <v>3705.5250000000001</v>
      </c>
      <c r="H24" s="14">
        <f>F24-E24</f>
        <v>-0.16708720930232546</v>
      </c>
      <c r="I24" s="12">
        <f>H24*F5</f>
        <v>-718.47499999999945</v>
      </c>
      <c r="J24" s="15">
        <f>(H24)/E24</f>
        <v>-0.16240393309222412</v>
      </c>
    </row>
    <row r="25" spans="2:28" x14ac:dyDescent="0.25">
      <c r="B25" s="11">
        <v>2</v>
      </c>
      <c r="C25" s="12">
        <f>(F15*F3)+(H15*F4)</f>
        <v>284</v>
      </c>
      <c r="D25" s="12">
        <f>(C1*F5*2)+(C25)</f>
        <v>4584</v>
      </c>
      <c r="E25" s="13">
        <f>D25/F5</f>
        <v>1.066046511627907</v>
      </c>
      <c r="F25" s="14">
        <f>(C10*2)+(C11*B25)</f>
        <v>1.24475</v>
      </c>
      <c r="G25" s="12">
        <f>F25*F5</f>
        <v>5352.4250000000002</v>
      </c>
      <c r="H25" s="14">
        <f t="shared" ref="H25:H30" si="0">F25-E25</f>
        <v>0.17870348837209304</v>
      </c>
      <c r="I25" s="12">
        <f>H25*F5</f>
        <v>768.42500000000007</v>
      </c>
      <c r="J25" s="15">
        <f>(H25)/E25</f>
        <v>0.16763198080279235</v>
      </c>
    </row>
    <row r="26" spans="2:28" x14ac:dyDescent="0.25">
      <c r="B26" s="11">
        <v>3</v>
      </c>
      <c r="C26" s="12">
        <f>(F16*F3)+(H16*F4)</f>
        <v>516</v>
      </c>
      <c r="D26" s="12">
        <f>(C1*F5*2)+(C26)</f>
        <v>4816</v>
      </c>
      <c r="E26" s="13">
        <f>D26/F5</f>
        <v>1.1200000000000001</v>
      </c>
      <c r="F26" s="14">
        <f>(C10*2)+(C11*B26)</f>
        <v>1.62775</v>
      </c>
      <c r="G26" s="12">
        <f>F26*F5</f>
        <v>6999.3249999999998</v>
      </c>
      <c r="H26" s="14">
        <f t="shared" si="0"/>
        <v>0.50774999999999992</v>
      </c>
      <c r="I26" s="12">
        <f>H26*F5</f>
        <v>2183.3249999999998</v>
      </c>
      <c r="J26" s="15">
        <f>(H26)/E26</f>
        <v>0.4533482142857142</v>
      </c>
    </row>
    <row r="27" spans="2:28" x14ac:dyDescent="0.25">
      <c r="B27" s="11">
        <v>4</v>
      </c>
      <c r="C27" s="12">
        <f>(F17*F3)+(H17*F4)</f>
        <v>856</v>
      </c>
      <c r="D27" s="12">
        <f>(C1*F5*2)+(C27)</f>
        <v>5156</v>
      </c>
      <c r="E27" s="13">
        <f>D27/F5</f>
        <v>1.1990697674418604</v>
      </c>
      <c r="F27" s="14">
        <f>(C10*2)+(C11*B27)</f>
        <v>2.0107499999999998</v>
      </c>
      <c r="G27" s="12">
        <f>F27*F5</f>
        <v>8646.2249999999985</v>
      </c>
      <c r="H27" s="14">
        <f t="shared" si="0"/>
        <v>0.81168023255813937</v>
      </c>
      <c r="I27" s="12">
        <f>H27*F5</f>
        <v>3490.2249999999995</v>
      </c>
      <c r="J27" s="15">
        <f>(H27)/E27</f>
        <v>0.67692494181536067</v>
      </c>
    </row>
    <row r="28" spans="2:28" x14ac:dyDescent="0.25">
      <c r="B28" s="11">
        <v>5</v>
      </c>
      <c r="C28" s="12">
        <f>(F18*F3)+(H18*F4)</f>
        <v>1376</v>
      </c>
      <c r="D28" s="12">
        <f>(C1*F5*2)+(C28)</f>
        <v>5676</v>
      </c>
      <c r="E28" s="13">
        <f>D28/F5</f>
        <v>1.32</v>
      </c>
      <c r="F28" s="14">
        <f>(C10*2)+(C11*B28)</f>
        <v>2.3937499999999998</v>
      </c>
      <c r="G28" s="12">
        <f>F28*F5</f>
        <v>10293.125</v>
      </c>
      <c r="H28" s="14">
        <f t="shared" si="0"/>
        <v>1.0737499999999998</v>
      </c>
      <c r="I28" s="12">
        <f>H28*F5</f>
        <v>4617.1249999999991</v>
      </c>
      <c r="J28" s="15">
        <f>(H28)/E28</f>
        <v>0.8134469696969695</v>
      </c>
    </row>
    <row r="29" spans="2:28" x14ac:dyDescent="0.25">
      <c r="B29" s="11">
        <v>6</v>
      </c>
      <c r="C29" s="12">
        <f>(F19*F3)+(H19*F4)</f>
        <v>2184</v>
      </c>
      <c r="D29" s="12">
        <f>(C1*F5*2)+(C29)</f>
        <v>6484</v>
      </c>
      <c r="E29" s="13">
        <f>D29/F5</f>
        <v>1.5079069767441859</v>
      </c>
      <c r="F29" s="14">
        <f>(C10*2)+(C11*B29)</f>
        <v>2.7767499999999998</v>
      </c>
      <c r="G29" s="12">
        <f>F29*F5</f>
        <v>11940.025</v>
      </c>
      <c r="H29" s="14">
        <f t="shared" si="0"/>
        <v>1.2688430232558139</v>
      </c>
      <c r="I29" s="12">
        <f>H29*F5</f>
        <v>5456.0249999999996</v>
      </c>
      <c r="J29" s="15">
        <f>(H29)/E29</f>
        <v>0.84145974706971005</v>
      </c>
    </row>
    <row r="30" spans="2:28" x14ac:dyDescent="0.25">
      <c r="B30" s="11">
        <v>7</v>
      </c>
      <c r="C30" s="12">
        <f>(F20*F3)+(H20*F4)</f>
        <v>3460</v>
      </c>
      <c r="D30" s="12">
        <f>(C1*F5*2)+(C30)</f>
        <v>7760</v>
      </c>
      <c r="E30" s="13">
        <f>D30/F5</f>
        <v>1.8046511627906976</v>
      </c>
      <c r="F30" s="14">
        <f>(C10*2)+(C11*B30)</f>
        <v>3.1597499999999998</v>
      </c>
      <c r="G30" s="12">
        <f>F30*F5</f>
        <v>13586.924999999999</v>
      </c>
      <c r="H30" s="14">
        <f t="shared" si="0"/>
        <v>1.3550988372093022</v>
      </c>
      <c r="I30" s="12">
        <f>H30*F5</f>
        <v>5826.9249999999993</v>
      </c>
      <c r="J30" s="15">
        <f>(H30)/E30</f>
        <v>0.75089239690721643</v>
      </c>
    </row>
    <row r="31" spans="2:28" ht="15.75" x14ac:dyDescent="0.25">
      <c r="B31" s="7"/>
      <c r="C31" s="7"/>
      <c r="D31" s="7"/>
      <c r="E31" s="7"/>
      <c r="F31" s="7"/>
      <c r="G31" s="7"/>
      <c r="H31" s="7"/>
      <c r="I31" s="7"/>
      <c r="J31" s="7"/>
    </row>
  </sheetData>
  <conditionalFormatting sqref="H24:H30 J24:J30 B24:F30 E14:H20">
    <cfRule type="expression" dxfId="4" priority="4">
      <formula>"MAX(k15,k21)"</formula>
    </cfRule>
  </conditionalFormatting>
  <conditionalFormatting sqref="G24:G30">
    <cfRule type="expression" dxfId="3" priority="3">
      <formula>"MAX(k15,k21)"</formula>
    </cfRule>
  </conditionalFormatting>
  <conditionalFormatting sqref="I24:I30">
    <cfRule type="expression" dxfId="2" priority="2">
      <formula>"MAX(k15,k21)"</formula>
    </cfRule>
  </conditionalFormatting>
  <conditionalFormatting sqref="D14:D20">
    <cfRule type="expression" dxfId="1" priority="1">
      <formula>"MAX(k15,k21)"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De Andrade</dc:creator>
  <cp:lastModifiedBy>Santiago De Andrade</cp:lastModifiedBy>
  <dcterms:created xsi:type="dcterms:W3CDTF">2015-06-05T18:17:20Z</dcterms:created>
  <dcterms:modified xsi:type="dcterms:W3CDTF">2021-12-09T19:51:48Z</dcterms:modified>
</cp:coreProperties>
</file>